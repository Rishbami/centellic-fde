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estingcircle-my.sharepoint.com/personal/hevans_spartaglobal_com/Documents/Desktop/"/>
    </mc:Choice>
  </mc:AlternateContent>
  <xr:revisionPtr revIDLastSave="358" documentId="11_5F009462EE109D45CCAAF6C15F3D0CF1265EDF1D" xr6:coauthVersionLast="47" xr6:coauthVersionMax="47" xr10:uidLastSave="{0CD0AE00-FDF3-4508-BE8E-D76399C03F4F}"/>
  <bookViews>
    <workbookView xWindow="-19310" yWindow="8300" windowWidth="19420" windowHeight="10300" tabRatio="500" xr2:uid="{00000000-000D-0000-FFFF-FFFF00000000}"/>
  </bookViews>
  <sheets>
    <sheet name="Attendance" sheetId="1" r:id="rId1"/>
    <sheet name="Meeting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2" l="1"/>
  <c r="G9" i="2"/>
  <c r="G8" i="2"/>
  <c r="G7" i="2"/>
  <c r="G6" i="2"/>
  <c r="G5" i="2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L10" i="1" l="1"/>
  <c r="L8" i="1"/>
  <c r="L7" i="1"/>
  <c r="L9" i="1"/>
  <c r="L11" i="1"/>
  <c r="L12" i="1"/>
  <c r="L15" i="1"/>
  <c r="L17" i="1"/>
  <c r="L16" i="1"/>
  <c r="L14" i="1"/>
  <c r="L13" i="1"/>
</calcChain>
</file>

<file path=xl/sharedStrings.xml><?xml version="1.0" encoding="utf-8"?>
<sst xmlns="http://schemas.openxmlformats.org/spreadsheetml/2006/main" count="161" uniqueCount="71">
  <si>
    <t>PROJECT ATI - MEETING ATTENDANCE REGISTER</t>
  </si>
  <si>
    <t>Chiltern Vale Borough Council - Customer &amp; Digital Services   |   4 March to 3 April 2026</t>
  </si>
  <si>
    <t>SAMPLE DATA FOR TRAINING USE. The meetings on 11 and 25 March are invented and every Y/N mark is fictitious, with one exception: the 01/04/2026 column reproduces the attendance and apologies recorded in Meeting Notes.docx. Not a record of any real meeting.</t>
  </si>
  <si>
    <t>HOW TO USE: enter Y or N in the 03/04/2026 column (pink header) to complete the register. Example - Daniel Osei attended, so his cell reads Y. Counts and percentages update automatically.</t>
  </si>
  <si>
    <t>MEETING TYPE &gt;</t>
  </si>
  <si>
    <t>Board</t>
  </si>
  <si>
    <t>Team</t>
  </si>
  <si>
    <t>Name</t>
  </si>
  <si>
    <t>Role</t>
  </si>
  <si>
    <t>Organisation</t>
  </si>
  <si>
    <t>04/03/2026</t>
  </si>
  <si>
    <t>11/03/2026</t>
  </si>
  <si>
    <t>18/03/2026</t>
  </si>
  <si>
    <t>25/03/2026</t>
  </si>
  <si>
    <t>01/04/2026</t>
  </si>
  <si>
    <t>03/04/2026</t>
  </si>
  <si>
    <t>Attended</t>
  </si>
  <si>
    <t>Meetings held</t>
  </si>
  <si>
    <t>Attendance %</t>
  </si>
  <si>
    <t>Margaret Ellison</t>
  </si>
  <si>
    <t>Director of Customer &amp; Digital Services (SRO)</t>
  </si>
  <si>
    <t>Chiltern Vale Borough Council</t>
  </si>
  <si>
    <t>Y</t>
  </si>
  <si>
    <t>N</t>
  </si>
  <si>
    <t>Daniel Osei</t>
  </si>
  <si>
    <t>Project Manager</t>
  </si>
  <si>
    <t>Priya Chandaria</t>
  </si>
  <si>
    <t>Customer Services Manager</t>
  </si>
  <si>
    <t>Robert Fairweather</t>
  </si>
  <si>
    <t>Head of IT Infrastructure</t>
  </si>
  <si>
    <t>Aisha Bello</t>
  </si>
  <si>
    <t>Data Migration Lead</t>
  </si>
  <si>
    <t>Tom Radcliffe</t>
  </si>
  <si>
    <t>Finance &amp; Procurement Business Partner</t>
  </si>
  <si>
    <t>Chloe Sutton</t>
  </si>
  <si>
    <t>Training &amp; Communications Officer</t>
  </si>
  <si>
    <t>Liam Kowalski</t>
  </si>
  <si>
    <t>Service Desk Analyst</t>
  </si>
  <si>
    <t>Nadia Hussain</t>
  </si>
  <si>
    <t>Test Coordinator</t>
  </si>
  <si>
    <t>Cllr Graham Pettifer</t>
  </si>
  <si>
    <t>Portfolio Holder, Customer Services</t>
  </si>
  <si>
    <t>Chiltern Vale BC (Elected Member)</t>
  </si>
  <si>
    <t>Craig Whitmore</t>
  </si>
  <si>
    <t>Account Manager</t>
  </si>
  <si>
    <t>Northbridge Digital Solutions (supplier)</t>
  </si>
  <si>
    <t>Invited</t>
  </si>
  <si>
    <t>Not attended</t>
  </si>
  <si>
    <t>Not recorded</t>
  </si>
  <si>
    <t>PROJECT ATI - MEETING SCHEDULE</t>
  </si>
  <si>
    <t>Project Board meets fortnightly on Wednesdays (Project Overview v1.5, s.7 Governance). The 18 March and 1 April Boards are documented; 4 March follows the same fortnightly cadence. Alternate Wednesdays are invented project team meetings.</t>
  </si>
  <si>
    <t>Date</t>
  </si>
  <si>
    <t>Day</t>
  </si>
  <si>
    <t>Meeting</t>
  </si>
  <si>
    <t>Time</t>
  </si>
  <si>
    <t>Location</t>
  </si>
  <si>
    <t>Status</t>
  </si>
  <si>
    <t>Wed 4 Mar</t>
  </si>
  <si>
    <t>Project Board</t>
  </si>
  <si>
    <t>10:00-11:15</t>
  </si>
  <si>
    <t>Committee Room 2 / MS Teams</t>
  </si>
  <si>
    <t>Held</t>
  </si>
  <si>
    <t>Wed 11 Mar</t>
  </si>
  <si>
    <t>Project Team Meeting</t>
  </si>
  <si>
    <t>14:00-15:00</t>
  </si>
  <si>
    <t>MS Teams</t>
  </si>
  <si>
    <t>Wed 18 Mar</t>
  </si>
  <si>
    <t>Wed 25 Mar</t>
  </si>
  <si>
    <t>Wed 1 Apr</t>
  </si>
  <si>
    <t>Fri 3 Apr</t>
  </si>
  <si>
    <t>Not yet 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</si>
</sst>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Tahoma"/>
      <charset val="1"/>
    </font>
    <font>
      <b/>
      <sz val="9"/>
      <color rgb="FFFFFFFF"/>
      <name val="Tahoma"/>
      <charset val="1"/>
    </font>
    <font>
      <i/>
      <sz val="9"/>
      <color rgb="FFE33661"/>
      <name val="Tahoma"/>
      <charset val="1"/>
    </font>
    <font>
      <sz val="9"/>
      <color rgb="FF595959"/>
      <name val="Tahoma"/>
      <charset val="1"/>
    </font>
    <font>
      <b/>
      <sz val="8"/>
      <color rgb="FF595959"/>
      <name val="Tahoma"/>
      <charset val="1"/>
    </font>
    <font>
      <sz val="10"/>
      <name val="Tahoma"/>
      <charset val="1"/>
    </font>
    <font>
      <b/>
      <sz val="10"/>
      <color rgb="FF000000"/>
      <name val="Tahoma"/>
      <charset val="1"/>
    </font>
    <font>
      <b/>
      <sz val="10"/>
      <color rgb="FFE33661"/>
      <name val="Tahoma"/>
      <charset val="1"/>
    </font>
    <font>
      <b/>
      <sz val="9"/>
      <color rgb="FF000000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33661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E2E2E2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9" fontId="6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2" fillId="3" borderId="0" xfId="0" applyFont="1" applyFill="1"/>
    <xf numFmtId="0" fontId="0" fillId="3" borderId="0" xfId="0" applyFill="1"/>
    <xf numFmtId="9" fontId="2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6">
    <dxf>
      <font>
        <b/>
        <i val="0"/>
        <color rgb="FFE33661"/>
      </font>
      <fill>
        <patternFill patternType="solid">
          <fgColor indexed="64"/>
          <bgColor rgb="FFFCE1E7"/>
        </patternFill>
      </fill>
    </dxf>
    <dxf>
      <font>
        <color rgb="FFE33661"/>
      </font>
      <fill>
        <patternFill patternType="solid">
          <fgColor indexed="64"/>
          <bgColor rgb="FFFCE1E7"/>
        </patternFill>
      </fill>
    </dxf>
    <dxf>
      <font>
        <color rgb="FFE33661"/>
      </font>
      <fill>
        <patternFill patternType="solid">
          <fgColor indexed="64"/>
          <bgColor rgb="FFFCE1E7"/>
        </patternFill>
      </fill>
    </dxf>
    <dxf>
      <fill>
        <patternFill patternType="solid">
          <fgColor indexed="64"/>
          <bgColor rgb="FFFCE1E7"/>
        </patternFill>
      </fill>
    </dxf>
    <dxf>
      <fill>
        <patternFill patternType="solid">
          <fgColor indexed="64"/>
          <bgColor rgb="FFFCE1E7"/>
        </patternFill>
      </fill>
    </dxf>
    <dxf>
      <font>
        <b/>
        <i val="0"/>
        <color rgb="FFE33661"/>
      </font>
      <fill>
        <patternFill patternType="solid">
          <fgColor indexed="64"/>
          <bgColor rgb="FFFCE1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E33661"/>
      <rgbColor rgb="FFFFFFCC"/>
      <rgbColor rgb="FFCCFFFF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2EB472-B447-4A24-BD08-11384B4EF4A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70a14c5-1da1-4cfb-b97a-1193de230c6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zoomScaleNormal="100" workbookViewId="0">
      <pane ySplit="6" topLeftCell="A7" activePane="bottomLeft" state="frozen"/>
      <selection pane="bottomLeft" sqref="A1:L1"/>
    </sheetView>
  </sheetViews>
  <sheetFormatPr defaultColWidth="8.7109375" defaultRowHeight="15" x14ac:dyDescent="0.25"/>
  <cols>
    <col min="1" max="1" width="22" customWidth="1"/>
    <col min="2" max="2" width="40" customWidth="1"/>
    <col min="3" max="3" width="38" customWidth="1"/>
    <col min="4" max="9" width="12" customWidth="1"/>
    <col min="10" max="10" width="10" customWidth="1"/>
    <col min="11" max="11" width="14" customWidth="1"/>
    <col min="12" max="12" width="13" customWidth="1"/>
  </cols>
  <sheetData>
    <row r="1" spans="1:12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0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.5" customHeigh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5" t="s">
        <v>4</v>
      </c>
      <c r="D5" s="6" t="s">
        <v>5</v>
      </c>
      <c r="E5" s="6" t="s">
        <v>6</v>
      </c>
      <c r="F5" s="6" t="s">
        <v>5</v>
      </c>
      <c r="G5" s="6" t="s">
        <v>6</v>
      </c>
      <c r="H5" s="6" t="s">
        <v>5</v>
      </c>
      <c r="I5" s="6" t="s">
        <v>6</v>
      </c>
    </row>
    <row r="6" spans="1:12" ht="30" customHeight="1" x14ac:dyDescent="0.25">
      <c r="A6" s="7" t="s">
        <v>7</v>
      </c>
      <c r="B6" s="7" t="s">
        <v>8</v>
      </c>
      <c r="C6" s="7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9" t="s">
        <v>15</v>
      </c>
      <c r="J6" s="8" t="s">
        <v>16</v>
      </c>
      <c r="K6" s="8" t="s">
        <v>17</v>
      </c>
      <c r="L6" s="8" t="s">
        <v>18</v>
      </c>
    </row>
    <row r="7" spans="1:12" x14ac:dyDescent="0.25">
      <c r="A7" s="10" t="s">
        <v>19</v>
      </c>
      <c r="B7" s="10" t="s">
        <v>20</v>
      </c>
      <c r="C7" s="10" t="s">
        <v>21</v>
      </c>
      <c r="D7" s="11" t="s">
        <v>22</v>
      </c>
      <c r="E7" s="11" t="s">
        <v>22</v>
      </c>
      <c r="F7" s="11" t="s">
        <v>22</v>
      </c>
      <c r="G7" s="12" t="s">
        <v>23</v>
      </c>
      <c r="H7" s="11" t="s">
        <v>22</v>
      </c>
      <c r="I7" s="11"/>
      <c r="J7" s="13">
        <f t="shared" ref="J7:J17" si="0">COUNTIF(D7:I7,"Y")</f>
        <v>4</v>
      </c>
      <c r="K7" s="13">
        <f t="shared" ref="K7:K17" si="1">COUNTIF(D7:I7,"Y")+COUNTIF(D7:I7,"N")</f>
        <v>5</v>
      </c>
      <c r="L7" s="14">
        <f t="shared" ref="L7:L17" si="2">IFERROR(J7/K7,"")</f>
        <v>0.8</v>
      </c>
    </row>
    <row r="8" spans="1:12" x14ac:dyDescent="0.25">
      <c r="A8" s="15" t="s">
        <v>24</v>
      </c>
      <c r="B8" s="15" t="s">
        <v>25</v>
      </c>
      <c r="C8" s="15" t="s">
        <v>21</v>
      </c>
      <c r="D8" s="16" t="s">
        <v>22</v>
      </c>
      <c r="E8" s="16" t="s">
        <v>22</v>
      </c>
      <c r="F8" s="16" t="s">
        <v>22</v>
      </c>
      <c r="G8" s="16" t="s">
        <v>22</v>
      </c>
      <c r="H8" s="16" t="s">
        <v>22</v>
      </c>
      <c r="I8" s="16"/>
      <c r="J8" s="17">
        <f t="shared" si="0"/>
        <v>5</v>
      </c>
      <c r="K8" s="17">
        <f t="shared" si="1"/>
        <v>5</v>
      </c>
      <c r="L8" s="18">
        <f t="shared" si="2"/>
        <v>1</v>
      </c>
    </row>
    <row r="9" spans="1:12" x14ac:dyDescent="0.25">
      <c r="A9" s="10" t="s">
        <v>26</v>
      </c>
      <c r="B9" s="10" t="s">
        <v>27</v>
      </c>
      <c r="C9" s="10" t="s">
        <v>21</v>
      </c>
      <c r="D9" s="11" t="s">
        <v>22</v>
      </c>
      <c r="E9" s="11" t="s">
        <v>22</v>
      </c>
      <c r="F9" s="11" t="s">
        <v>22</v>
      </c>
      <c r="G9" s="11" t="s">
        <v>22</v>
      </c>
      <c r="H9" s="11" t="s">
        <v>22</v>
      </c>
      <c r="I9" s="11"/>
      <c r="J9" s="13">
        <f t="shared" si="0"/>
        <v>5</v>
      </c>
      <c r="K9" s="13">
        <f t="shared" si="1"/>
        <v>5</v>
      </c>
      <c r="L9" s="14">
        <f t="shared" si="2"/>
        <v>1</v>
      </c>
    </row>
    <row r="10" spans="1:12" x14ac:dyDescent="0.25">
      <c r="A10" s="15" t="s">
        <v>28</v>
      </c>
      <c r="B10" s="15" t="s">
        <v>29</v>
      </c>
      <c r="C10" s="15" t="s">
        <v>21</v>
      </c>
      <c r="D10" s="16" t="s">
        <v>22</v>
      </c>
      <c r="E10" s="19" t="s">
        <v>23</v>
      </c>
      <c r="F10" s="16" t="s">
        <v>22</v>
      </c>
      <c r="G10" s="16" t="s">
        <v>22</v>
      </c>
      <c r="H10" s="16" t="s">
        <v>22</v>
      </c>
      <c r="I10" s="16"/>
      <c r="J10" s="17">
        <f t="shared" si="0"/>
        <v>4</v>
      </c>
      <c r="K10" s="17">
        <f t="shared" si="1"/>
        <v>5</v>
      </c>
      <c r="L10" s="18">
        <f t="shared" si="2"/>
        <v>0.8</v>
      </c>
    </row>
    <row r="11" spans="1:12" x14ac:dyDescent="0.25">
      <c r="A11" s="10" t="s">
        <v>30</v>
      </c>
      <c r="B11" s="10" t="s">
        <v>31</v>
      </c>
      <c r="C11" s="10" t="s">
        <v>21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11"/>
      <c r="J11" s="13">
        <f t="shared" si="0"/>
        <v>5</v>
      </c>
      <c r="K11" s="13">
        <f t="shared" si="1"/>
        <v>5</v>
      </c>
      <c r="L11" s="14">
        <f t="shared" si="2"/>
        <v>1</v>
      </c>
    </row>
    <row r="12" spans="1:12" x14ac:dyDescent="0.25">
      <c r="A12" s="15" t="s">
        <v>32</v>
      </c>
      <c r="B12" s="15" t="s">
        <v>33</v>
      </c>
      <c r="C12" s="15" t="s">
        <v>21</v>
      </c>
      <c r="D12" s="19" t="s">
        <v>23</v>
      </c>
      <c r="E12" s="16" t="s">
        <v>22</v>
      </c>
      <c r="F12" s="16" t="s">
        <v>22</v>
      </c>
      <c r="G12" s="19" t="s">
        <v>23</v>
      </c>
      <c r="H12" s="16" t="s">
        <v>22</v>
      </c>
      <c r="I12" s="16"/>
      <c r="J12" s="17">
        <f t="shared" si="0"/>
        <v>3</v>
      </c>
      <c r="K12" s="17">
        <f t="shared" si="1"/>
        <v>5</v>
      </c>
      <c r="L12" s="18">
        <f t="shared" si="2"/>
        <v>0.6</v>
      </c>
    </row>
    <row r="13" spans="1:12" x14ac:dyDescent="0.25">
      <c r="A13" s="10" t="s">
        <v>34</v>
      </c>
      <c r="B13" s="10" t="s">
        <v>35</v>
      </c>
      <c r="C13" s="10" t="s">
        <v>21</v>
      </c>
      <c r="D13" s="11" t="s">
        <v>22</v>
      </c>
      <c r="E13" s="12" t="s">
        <v>23</v>
      </c>
      <c r="F13" s="12" t="s">
        <v>23</v>
      </c>
      <c r="G13" s="12" t="s">
        <v>23</v>
      </c>
      <c r="H13" s="12" t="s">
        <v>23</v>
      </c>
      <c r="I13" s="11"/>
      <c r="J13" s="13">
        <f t="shared" si="0"/>
        <v>1</v>
      </c>
      <c r="K13" s="13">
        <f t="shared" si="1"/>
        <v>5</v>
      </c>
      <c r="L13" s="14">
        <f t="shared" si="2"/>
        <v>0.2</v>
      </c>
    </row>
    <row r="14" spans="1:12" x14ac:dyDescent="0.25">
      <c r="A14" s="15" t="s">
        <v>36</v>
      </c>
      <c r="B14" s="15" t="s">
        <v>37</v>
      </c>
      <c r="C14" s="15" t="s">
        <v>21</v>
      </c>
      <c r="D14" s="16" t="s">
        <v>22</v>
      </c>
      <c r="E14" s="16" t="s">
        <v>22</v>
      </c>
      <c r="F14" s="19" t="s">
        <v>23</v>
      </c>
      <c r="G14" s="16" t="s">
        <v>22</v>
      </c>
      <c r="H14" s="19" t="s">
        <v>23</v>
      </c>
      <c r="I14" s="16"/>
      <c r="J14" s="17">
        <f t="shared" si="0"/>
        <v>3</v>
      </c>
      <c r="K14" s="17">
        <f t="shared" si="1"/>
        <v>5</v>
      </c>
      <c r="L14" s="18">
        <f t="shared" si="2"/>
        <v>0.6</v>
      </c>
    </row>
    <row r="15" spans="1:12" x14ac:dyDescent="0.25">
      <c r="A15" s="10" t="s">
        <v>38</v>
      </c>
      <c r="B15" s="10" t="s">
        <v>39</v>
      </c>
      <c r="C15" s="10" t="s">
        <v>21</v>
      </c>
      <c r="D15" s="12" t="s">
        <v>23</v>
      </c>
      <c r="E15" s="11" t="s">
        <v>22</v>
      </c>
      <c r="F15" s="11" t="s">
        <v>22</v>
      </c>
      <c r="G15" s="11" t="s">
        <v>22</v>
      </c>
      <c r="H15" s="12" t="s">
        <v>23</v>
      </c>
      <c r="I15" s="11"/>
      <c r="J15" s="13">
        <f t="shared" si="0"/>
        <v>3</v>
      </c>
      <c r="K15" s="13">
        <f t="shared" si="1"/>
        <v>5</v>
      </c>
      <c r="L15" s="14">
        <f t="shared" si="2"/>
        <v>0.6</v>
      </c>
    </row>
    <row r="16" spans="1:12" x14ac:dyDescent="0.25">
      <c r="A16" s="15" t="s">
        <v>40</v>
      </c>
      <c r="B16" s="15" t="s">
        <v>41</v>
      </c>
      <c r="C16" s="15" t="s">
        <v>42</v>
      </c>
      <c r="D16" s="19" t="s">
        <v>23</v>
      </c>
      <c r="E16" s="19" t="s">
        <v>23</v>
      </c>
      <c r="F16" s="16" t="s">
        <v>22</v>
      </c>
      <c r="G16" s="19" t="s">
        <v>23</v>
      </c>
      <c r="H16" s="16" t="s">
        <v>22</v>
      </c>
      <c r="I16" s="16"/>
      <c r="J16" s="17">
        <f t="shared" si="0"/>
        <v>2</v>
      </c>
      <c r="K16" s="17">
        <f t="shared" si="1"/>
        <v>5</v>
      </c>
      <c r="L16" s="18">
        <f t="shared" si="2"/>
        <v>0.4</v>
      </c>
    </row>
    <row r="17" spans="1:12" x14ac:dyDescent="0.25">
      <c r="A17" s="10" t="s">
        <v>43</v>
      </c>
      <c r="B17" s="10" t="s">
        <v>44</v>
      </c>
      <c r="C17" s="10" t="s">
        <v>45</v>
      </c>
      <c r="D17" s="11" t="s">
        <v>22</v>
      </c>
      <c r="E17" s="12" t="s">
        <v>23</v>
      </c>
      <c r="F17" s="11" t="s">
        <v>22</v>
      </c>
      <c r="G17" s="12" t="s">
        <v>23</v>
      </c>
      <c r="H17" s="11" t="s">
        <v>22</v>
      </c>
      <c r="I17" s="11"/>
      <c r="J17" s="13">
        <f t="shared" si="0"/>
        <v>3</v>
      </c>
      <c r="K17" s="13">
        <f t="shared" si="1"/>
        <v>5</v>
      </c>
      <c r="L17" s="14">
        <f t="shared" si="2"/>
        <v>0.6</v>
      </c>
    </row>
    <row r="19" spans="1:12" x14ac:dyDescent="0.25">
      <c r="A19" s="20" t="s">
        <v>46</v>
      </c>
      <c r="D19" s="21">
        <f t="shared" ref="D19:I19" si="3">COUNTA($A$7:$A$17)</f>
        <v>11</v>
      </c>
      <c r="E19" s="21">
        <f t="shared" si="3"/>
        <v>11</v>
      </c>
      <c r="F19" s="21">
        <f t="shared" si="3"/>
        <v>11</v>
      </c>
      <c r="G19" s="21">
        <f t="shared" si="3"/>
        <v>11</v>
      </c>
      <c r="H19" s="21">
        <f t="shared" si="3"/>
        <v>11</v>
      </c>
      <c r="I19" s="21">
        <f t="shared" si="3"/>
        <v>11</v>
      </c>
    </row>
    <row r="20" spans="1:12" x14ac:dyDescent="0.25">
      <c r="A20" s="20" t="s">
        <v>16</v>
      </c>
      <c r="D20" s="21">
        <f t="shared" ref="D20:I20" si="4">COUNTIF(D7:D17,"Y")</f>
        <v>8</v>
      </c>
      <c r="E20" s="21">
        <f t="shared" si="4"/>
        <v>7</v>
      </c>
      <c r="F20" s="21">
        <f t="shared" si="4"/>
        <v>9</v>
      </c>
      <c r="G20" s="21">
        <f t="shared" si="4"/>
        <v>6</v>
      </c>
      <c r="H20" s="21">
        <f t="shared" si="4"/>
        <v>8</v>
      </c>
      <c r="I20" s="21">
        <f t="shared" si="4"/>
        <v>0</v>
      </c>
    </row>
    <row r="21" spans="1:12" x14ac:dyDescent="0.25">
      <c r="A21" s="20" t="s">
        <v>47</v>
      </c>
      <c r="D21" s="21">
        <f t="shared" ref="D21:I21" si="5">COUNTIF(D7:D17,"N")</f>
        <v>3</v>
      </c>
      <c r="E21" s="21">
        <f t="shared" si="5"/>
        <v>4</v>
      </c>
      <c r="F21" s="21">
        <f t="shared" si="5"/>
        <v>2</v>
      </c>
      <c r="G21" s="21">
        <f t="shared" si="5"/>
        <v>5</v>
      </c>
      <c r="H21" s="21">
        <f t="shared" si="5"/>
        <v>3</v>
      </c>
      <c r="I21" s="21">
        <f t="shared" si="5"/>
        <v>0</v>
      </c>
    </row>
    <row r="22" spans="1:12" x14ac:dyDescent="0.25">
      <c r="A22" s="20" t="s">
        <v>48</v>
      </c>
      <c r="D22" s="21">
        <f t="shared" ref="D22:I22" si="6">COUNTA($A$7:$A$17)-COUNTIF(D7:D17,"Y")-COUNTIF(D7:D17,"N")</f>
        <v>0</v>
      </c>
      <c r="E22" s="21">
        <f t="shared" si="6"/>
        <v>0</v>
      </c>
      <c r="F22" s="21">
        <f t="shared" si="6"/>
        <v>0</v>
      </c>
      <c r="G22" s="21">
        <f t="shared" si="6"/>
        <v>0</v>
      </c>
      <c r="H22" s="21">
        <f t="shared" si="6"/>
        <v>0</v>
      </c>
      <c r="I22" s="21">
        <f t="shared" si="6"/>
        <v>11</v>
      </c>
    </row>
    <row r="23" spans="1:12" x14ac:dyDescent="0.25">
      <c r="A23" s="22" t="s">
        <v>18</v>
      </c>
      <c r="B23" s="23"/>
      <c r="C23" s="23"/>
      <c r="D23" s="24">
        <f t="shared" ref="D23:I23" si="7">IFERROR(COUNTIF(D7:D17,"Y")/(COUNTIF(D7:D17,"Y")+COUNTIF(D7:D17,"N")),"")</f>
        <v>0.72727272727272729</v>
      </c>
      <c r="E23" s="24">
        <f t="shared" si="7"/>
        <v>0.63636363636363635</v>
      </c>
      <c r="F23" s="24">
        <f t="shared" si="7"/>
        <v>0.81818181818181823</v>
      </c>
      <c r="G23" s="24">
        <f t="shared" si="7"/>
        <v>0.54545454545454541</v>
      </c>
      <c r="H23" s="24">
        <f t="shared" si="7"/>
        <v>0.72727272727272729</v>
      </c>
      <c r="I23" s="24" t="str">
        <f t="shared" si="7"/>
        <v/>
      </c>
      <c r="J23" s="23"/>
      <c r="K23" s="23"/>
      <c r="L23" s="23"/>
    </row>
  </sheetData>
  <mergeCells count="4">
    <mergeCell ref="A1:L1"/>
    <mergeCell ref="A2:L2"/>
    <mergeCell ref="A3:L3"/>
    <mergeCell ref="A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2" width="13" customWidth="1"/>
    <col min="3" max="3" width="22" customWidth="1"/>
    <col min="4" max="4" width="13" customWidth="1"/>
    <col min="5" max="5" width="30" customWidth="1"/>
    <col min="6" max="6" width="14" customWidth="1"/>
    <col min="7" max="7" width="10" customWidth="1"/>
  </cols>
  <sheetData>
    <row r="1" spans="1:7" ht="25.5" customHeight="1" x14ac:dyDescent="0.25">
      <c r="A1" s="4" t="s">
        <v>49</v>
      </c>
      <c r="B1" s="4"/>
      <c r="C1" s="4"/>
      <c r="D1" s="4"/>
      <c r="E1" s="4"/>
      <c r="F1" s="4"/>
      <c r="G1" s="4"/>
    </row>
    <row r="2" spans="1:7" ht="30" customHeight="1" x14ac:dyDescent="0.25">
      <c r="A2" s="2" t="s">
        <v>50</v>
      </c>
      <c r="B2" s="2"/>
      <c r="C2" s="2"/>
      <c r="D2" s="2"/>
      <c r="E2" s="2"/>
      <c r="F2" s="2"/>
      <c r="G2" s="2"/>
    </row>
    <row r="4" spans="1:7" x14ac:dyDescent="0.25">
      <c r="A4" s="25" t="s">
        <v>51</v>
      </c>
      <c r="B4" s="25" t="s">
        <v>52</v>
      </c>
      <c r="C4" s="25" t="s">
        <v>53</v>
      </c>
      <c r="D4" s="25" t="s">
        <v>54</v>
      </c>
      <c r="E4" s="25" t="s">
        <v>55</v>
      </c>
      <c r="F4" s="25" t="s">
        <v>56</v>
      </c>
      <c r="G4" s="25" t="s">
        <v>46</v>
      </c>
    </row>
    <row r="5" spans="1:7" x14ac:dyDescent="0.25">
      <c r="A5" s="10" t="s">
        <v>10</v>
      </c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>
        <f>COUNTA(Attendance!$A$7:$A$17)</f>
        <v>11</v>
      </c>
    </row>
    <row r="6" spans="1:7" x14ac:dyDescent="0.25">
      <c r="A6" s="15" t="s">
        <v>11</v>
      </c>
      <c r="B6" s="15" t="s">
        <v>62</v>
      </c>
      <c r="C6" s="15" t="s">
        <v>63</v>
      </c>
      <c r="D6" s="15" t="s">
        <v>64</v>
      </c>
      <c r="E6" s="15" t="s">
        <v>65</v>
      </c>
      <c r="F6" s="15" t="s">
        <v>61</v>
      </c>
      <c r="G6" s="15">
        <f>COUNTA(Attendance!$A$7:$A$17)</f>
        <v>11</v>
      </c>
    </row>
    <row r="7" spans="1:7" x14ac:dyDescent="0.25">
      <c r="A7" s="10" t="s">
        <v>12</v>
      </c>
      <c r="B7" s="10" t="s">
        <v>66</v>
      </c>
      <c r="C7" s="10" t="s">
        <v>58</v>
      </c>
      <c r="D7" s="10" t="s">
        <v>59</v>
      </c>
      <c r="E7" s="10" t="s">
        <v>60</v>
      </c>
      <c r="F7" s="10" t="s">
        <v>61</v>
      </c>
      <c r="G7" s="10">
        <f>COUNTA(Attendance!$A$7:$A$17)</f>
        <v>11</v>
      </c>
    </row>
    <row r="8" spans="1:7" x14ac:dyDescent="0.25">
      <c r="A8" s="15" t="s">
        <v>13</v>
      </c>
      <c r="B8" s="15" t="s">
        <v>67</v>
      </c>
      <c r="C8" s="15" t="s">
        <v>63</v>
      </c>
      <c r="D8" s="15" t="s">
        <v>64</v>
      </c>
      <c r="E8" s="15" t="s">
        <v>65</v>
      </c>
      <c r="F8" s="15" t="s">
        <v>61</v>
      </c>
      <c r="G8" s="15">
        <f>COUNTA(Attendance!$A$7:$A$17)</f>
        <v>11</v>
      </c>
    </row>
    <row r="9" spans="1:7" x14ac:dyDescent="0.25">
      <c r="A9" s="10" t="s">
        <v>14</v>
      </c>
      <c r="B9" s="10" t="s">
        <v>68</v>
      </c>
      <c r="C9" s="10" t="s">
        <v>58</v>
      </c>
      <c r="D9" s="10" t="s">
        <v>59</v>
      </c>
      <c r="E9" s="10" t="s">
        <v>60</v>
      </c>
      <c r="F9" s="10" t="s">
        <v>61</v>
      </c>
      <c r="G9" s="10">
        <f>COUNTA(Attendance!$A$7:$A$17)</f>
        <v>11</v>
      </c>
    </row>
    <row r="10" spans="1:7" x14ac:dyDescent="0.25">
      <c r="A10" s="15" t="s">
        <v>15</v>
      </c>
      <c r="B10" s="15" t="s">
        <v>69</v>
      </c>
      <c r="C10" s="15" t="s">
        <v>63</v>
      </c>
      <c r="D10" s="15" t="s">
        <v>64</v>
      </c>
      <c r="E10" s="15" t="s">
        <v>65</v>
      </c>
      <c r="F10" s="15" t="s">
        <v>70</v>
      </c>
      <c r="G10" s="15">
        <f>COUNTA(Attendance!$A$7:$A$17)</f>
        <v>11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265199e-e02e-4808-b482-065421ad0489}" enabled="1" method="Standard" siteId="{ff15c67c-2870-4e9f-adc1-7d61d855b6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Meetings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Helen Evans</cp:lastModifiedBy>
  <cp:revision>0</cp:revision>
  <dcterms:created xsi:type="dcterms:W3CDTF">2026-09-03T17:23:54Z</dcterms:created>
  <dcterms:modified xsi:type="dcterms:W3CDTF">2026-09-03T17:37:31Z</dcterms:modified>
  <dc:language>en-US</dc:language>
</cp:coreProperties>
</file>